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neom_mates — Regression Testing Checklist</t>
        </is>
      </c>
    </row>
    <row r="2">
      <c r="A2" s="2" t="inlineStr">
        <is>
          <t>Módulo:</t>
        </is>
      </c>
      <c r="B2" s="3" t="inlineStr">
        <is>
          <t>neom_mates</t>
        </is>
      </c>
    </row>
    <row r="3">
      <c r="A3" s="2" t="inlineStr">
        <is>
          <t>Categoría:</t>
        </is>
      </c>
      <c r="B3" s="3" t="inlineStr">
        <is>
          <t>social</t>
        </is>
      </c>
    </row>
    <row r="4">
      <c r="A4" s="2" t="inlineStr">
        <is>
          <t>Descripción:</t>
        </is>
      </c>
      <c r="B4" s="3" t="inlineStr">
        <is>
          <t>Mates / matches: descubrimiento, swipe, match, chat directo. (Bloqueado por dep faltante neom_achievements)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Cases'!A2:A6)</f>
        <v/>
      </c>
    </row>
    <row r="12">
      <c r="A12" s="5" t="inlineStr">
        <is>
          <t>Passed</t>
        </is>
      </c>
      <c r="B12" s="6">
        <f>COUNTIF('Test Cases'!F2:F6,"Passed")</f>
        <v/>
      </c>
    </row>
    <row r="13">
      <c r="A13" s="5" t="inlineStr">
        <is>
          <t>Failed</t>
        </is>
      </c>
      <c r="B13" s="6">
        <f>COUNTIF('Test Cases'!F2:F6,"Failed")</f>
        <v/>
      </c>
    </row>
    <row r="14">
      <c r="A14" s="5" t="inlineStr">
        <is>
          <t>Blocked</t>
        </is>
      </c>
      <c r="B14" s="6">
        <f>COUNTIF('Test Cases'!F2:F6,"Blocked")</f>
        <v/>
      </c>
    </row>
    <row r="15">
      <c r="A15" s="5" t="inlineStr">
        <is>
          <t>Skipped</t>
        </is>
      </c>
      <c r="B15" s="6">
        <f>COUNTIF('Test Cases'!F2:F6,"Skipped")</f>
        <v/>
      </c>
    </row>
    <row r="16">
      <c r="A16" s="5" t="inlineStr">
        <is>
          <t>Not Run</t>
        </is>
      </c>
      <c r="B16" s="6">
        <f>COUNTIF('Test Cases'!F2:F6,"Not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Cases'!D2:D6,"P0")</f>
        <v/>
      </c>
      <c r="C21" s="8">
        <f>COUNTIFS('Test Cases'!D2:D6,"P0",'Test Cases'!F2:F6,"Passed")</f>
        <v/>
      </c>
      <c r="D21" s="8">
        <f>COUNTIFS('Test Cases'!D2:D6,"P0",'Test Cases'!F2:F6,"Failed")</f>
        <v/>
      </c>
      <c r="E21" s="8">
        <f>COUNTIFS('Test Cases'!D2:D6,"P0",'Test Cases'!F2:F6,"Not Run")</f>
        <v/>
      </c>
    </row>
    <row r="22">
      <c r="A22" s="5" t="inlineStr">
        <is>
          <t>P1</t>
        </is>
      </c>
      <c r="B22" s="8">
        <f>COUNTIF('Test Cases'!D2:D6,"P1")</f>
        <v/>
      </c>
      <c r="C22" s="8">
        <f>COUNTIFS('Test Cases'!D2:D6,"P1",'Test Cases'!F2:F6,"Passed")</f>
        <v/>
      </c>
      <c r="D22" s="8">
        <f>COUNTIFS('Test Cases'!D2:D6,"P1",'Test Cases'!F2:F6,"Failed")</f>
        <v/>
      </c>
      <c r="E22" s="8">
        <f>COUNTIFS('Test Cases'!D2:D6,"P1",'Test Cases'!F2:F6,"Not Run")</f>
        <v/>
      </c>
    </row>
    <row r="23">
      <c r="A23" s="5" t="inlineStr">
        <is>
          <t>P2</t>
        </is>
      </c>
      <c r="B23" s="8">
        <f>COUNTIF('Test Cases'!D2:D6,"P2")</f>
        <v/>
      </c>
      <c r="C23" s="8">
        <f>COUNTIFS('Test Cases'!D2:D6,"P2",'Test Cases'!F2:F6,"Passed")</f>
        <v/>
      </c>
      <c r="D23" s="8">
        <f>COUNTIFS('Test Cases'!D2:D6,"P2",'Test Cases'!F2:F6,"Failed")</f>
        <v/>
      </c>
      <c r="E23" s="8">
        <f>COUNTIFS('Test Cases'!D2:D6,"P2",'Test Cases'!F2:F6,"Not Run")</f>
        <v/>
      </c>
    </row>
    <row r="24">
      <c r="A24" s="5" t="inlineStr">
        <is>
          <t>P3</t>
        </is>
      </c>
      <c r="B24" s="8">
        <f>COUNTIF('Test Cases'!D2:D6,"P3")</f>
        <v/>
      </c>
      <c r="C24" s="8">
        <f>COUNTIFS('Test Cases'!D2:D6,"P3",'Test Cases'!F2:F6,"Passed")</f>
        <v/>
      </c>
      <c r="D24" s="8">
        <f>COUNTIFS('Test Cases'!D2:D6,"P3",'Test Cases'!F2:F6,"Failed")</f>
        <v/>
      </c>
      <c r="E24" s="8">
        <f>COUNTIFS('Test Cases'!D2:D6,"P3",'Test Cases'!F2:F6,"Not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MTS-01</t>
        </is>
      </c>
      <c r="B2" s="9" t="inlineStr">
        <is>
          <t>neom_mates</t>
        </is>
      </c>
      <c r="C2" s="9" t="inlineStr">
        <is>
          <t>Discover</t>
        </is>
      </c>
      <c r="D2" s="9" t="inlineStr">
        <is>
          <t>P0</t>
        </is>
      </c>
      <c r="E2" s="9" t="inlineStr">
        <is>
          <t>Listar candidatos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Login</t>
        </is>
      </c>
      <c r="M2" s="9" t="inlineStr">
        <is>
          <t>Open</t>
        </is>
      </c>
      <c r="N2" s="9" t="inlineStr">
        <is>
          <t>Lista</t>
        </is>
      </c>
      <c r="O2" s="9" t="inlineStr"/>
    </row>
    <row r="3">
      <c r="A3" s="10" t="inlineStr">
        <is>
          <t>MTS-02</t>
        </is>
      </c>
      <c r="B3" s="10" t="inlineStr">
        <is>
          <t>neom_mates</t>
        </is>
      </c>
      <c r="C3" s="10" t="inlineStr">
        <is>
          <t>Swipe</t>
        </is>
      </c>
      <c r="D3" s="10" t="inlineStr">
        <is>
          <t>P0</t>
        </is>
      </c>
      <c r="E3" s="10" t="inlineStr">
        <is>
          <t>Like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Card</t>
        </is>
      </c>
      <c r="M3" s="10" t="inlineStr">
        <is>
          <t>Swipe right</t>
        </is>
      </c>
      <c r="N3" s="10" t="inlineStr">
        <is>
          <t>Like registrado</t>
        </is>
      </c>
      <c r="O3" s="10" t="inlineStr"/>
    </row>
    <row r="4">
      <c r="A4" s="9" t="inlineStr">
        <is>
          <t>MTS-03</t>
        </is>
      </c>
      <c r="B4" s="9" t="inlineStr">
        <is>
          <t>neom_mates</t>
        </is>
      </c>
      <c r="C4" s="9" t="inlineStr">
        <is>
          <t>Match</t>
        </is>
      </c>
      <c r="D4" s="9" t="inlineStr">
        <is>
          <t>P0</t>
        </is>
      </c>
      <c r="E4" s="9" t="inlineStr">
        <is>
          <t>Match doble like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2 likes mutuos</t>
        </is>
      </c>
      <c r="M4" s="9" t="inlineStr">
        <is>
          <t>Trigger</t>
        </is>
      </c>
      <c r="N4" s="9" t="inlineStr">
        <is>
          <t>Match notif</t>
        </is>
      </c>
      <c r="O4" s="9" t="inlineStr"/>
    </row>
    <row r="5">
      <c r="A5" s="10" t="inlineStr">
        <is>
          <t>MTS-04</t>
        </is>
      </c>
      <c r="B5" s="10" t="inlineStr">
        <is>
          <t>neom_mates</t>
        </is>
      </c>
      <c r="C5" s="10" t="inlineStr">
        <is>
          <t>Chat</t>
        </is>
      </c>
      <c r="D5" s="10" t="inlineStr">
        <is>
          <t>P1</t>
        </is>
      </c>
      <c r="E5" s="10" t="inlineStr">
        <is>
          <t>Iniciar chat tras match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Match</t>
        </is>
      </c>
      <c r="M5" s="10" t="inlineStr">
        <is>
          <t>Open chat</t>
        </is>
      </c>
      <c r="N5" s="10" t="inlineStr">
        <is>
          <t>Hilo</t>
        </is>
      </c>
      <c r="O5" s="10" t="inlineStr"/>
    </row>
    <row r="6">
      <c r="A6" s="9" t="inlineStr">
        <is>
          <t>MTS-05</t>
        </is>
      </c>
      <c r="B6" s="9" t="inlineStr">
        <is>
          <t>neom_mates</t>
        </is>
      </c>
      <c r="C6" s="9" t="inlineStr">
        <is>
          <t>Filter</t>
        </is>
      </c>
      <c r="D6" s="9" t="inlineStr">
        <is>
          <t>P1</t>
        </is>
      </c>
      <c r="E6" s="9" t="inlineStr">
        <is>
          <t>Filtro edad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Filtros</t>
        </is>
      </c>
      <c r="M6" s="9" t="inlineStr">
        <is>
          <t>Apply</t>
        </is>
      </c>
      <c r="N6" s="9" t="inlineStr">
        <is>
          <t>Filtrado</t>
        </is>
      </c>
      <c r="O6" s="9" t="inlineStr"/>
    </row>
  </sheetData>
  <autoFilter ref="A1:O6"/>
  <conditionalFormatting sqref="F2:F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6" showDropDown="0" showInputMessage="0" showErrorMessage="0" allowBlank="1" type="list">
      <formula1>"Not Run,Passed,Failed,Blocked,Skipped"</formula1>
    </dataValidation>
    <dataValidation sqref="D2:D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Chat</t>
        </is>
      </c>
      <c r="B2" s="11">
        <f>COUNTIF('Test Cases'!C2:C6,A2)</f>
        <v/>
      </c>
      <c r="C2" s="11">
        <f>COUNTIFS('Test Cases'!C2:C6,A2,'Test Cases'!F2:F6,"Passed")</f>
        <v/>
      </c>
      <c r="D2" s="11">
        <f>COUNTIFS('Test Cases'!C2:C6,A2,'Test Cases'!F2:F6,"Failed")</f>
        <v/>
      </c>
      <c r="E2" s="11">
        <f>COUNTIFS('Test Cases'!C2:C6,A2,'Test Cases'!F2:F6,"Blocked")</f>
        <v/>
      </c>
      <c r="F2" s="11">
        <f>COUNTIFS('Test Cases'!C2:C6,A2,'Test Cases'!F2:F6,"Skipped")</f>
        <v/>
      </c>
      <c r="G2" s="11">
        <f>COUNTIFS('Test Cases'!C2:C6,A2,'Test Cases'!F2:F6,"Not Run")</f>
        <v/>
      </c>
      <c r="H2" s="12">
        <f>IFERROR(C2/(C2+D2),0)</f>
        <v/>
      </c>
    </row>
    <row r="3">
      <c r="A3" s="11" t="inlineStr">
        <is>
          <t>Discover</t>
        </is>
      </c>
      <c r="B3" s="11">
        <f>COUNTIF('Test Cases'!C2:C6,A3)</f>
        <v/>
      </c>
      <c r="C3" s="11">
        <f>COUNTIFS('Test Cases'!C2:C6,A3,'Test Cases'!F2:F6,"Passed")</f>
        <v/>
      </c>
      <c r="D3" s="11">
        <f>COUNTIFS('Test Cases'!C2:C6,A3,'Test Cases'!F2:F6,"Failed")</f>
        <v/>
      </c>
      <c r="E3" s="11">
        <f>COUNTIFS('Test Cases'!C2:C6,A3,'Test Cases'!F2:F6,"Blocked")</f>
        <v/>
      </c>
      <c r="F3" s="11">
        <f>COUNTIFS('Test Cases'!C2:C6,A3,'Test Cases'!F2:F6,"Skipped")</f>
        <v/>
      </c>
      <c r="G3" s="11">
        <f>COUNTIFS('Test Cases'!C2:C6,A3,'Test Cases'!F2:F6,"Not Run")</f>
        <v/>
      </c>
      <c r="H3" s="12">
        <f>IFERROR(C3/(C3+D3),0)</f>
        <v/>
      </c>
    </row>
    <row r="4">
      <c r="A4" s="11" t="inlineStr">
        <is>
          <t>Filter</t>
        </is>
      </c>
      <c r="B4" s="11">
        <f>COUNTIF('Test Cases'!C2:C6,A4)</f>
        <v/>
      </c>
      <c r="C4" s="11">
        <f>COUNTIFS('Test Cases'!C2:C6,A4,'Test Cases'!F2:F6,"Passed")</f>
        <v/>
      </c>
      <c r="D4" s="11">
        <f>COUNTIFS('Test Cases'!C2:C6,A4,'Test Cases'!F2:F6,"Failed")</f>
        <v/>
      </c>
      <c r="E4" s="11">
        <f>COUNTIFS('Test Cases'!C2:C6,A4,'Test Cases'!F2:F6,"Blocked")</f>
        <v/>
      </c>
      <c r="F4" s="11">
        <f>COUNTIFS('Test Cases'!C2:C6,A4,'Test Cases'!F2:F6,"Skipped")</f>
        <v/>
      </c>
      <c r="G4" s="11">
        <f>COUNTIFS('Test Cases'!C2:C6,A4,'Test Cases'!F2:F6,"Not Run")</f>
        <v/>
      </c>
      <c r="H4" s="12">
        <f>IFERROR(C4/(C4+D4),0)</f>
        <v/>
      </c>
    </row>
    <row r="5">
      <c r="A5" s="11" t="inlineStr">
        <is>
          <t>Match</t>
        </is>
      </c>
      <c r="B5" s="11">
        <f>COUNTIF('Test Cases'!C2:C6,A5)</f>
        <v/>
      </c>
      <c r="C5" s="11">
        <f>COUNTIFS('Test Cases'!C2:C6,A5,'Test Cases'!F2:F6,"Passed")</f>
        <v/>
      </c>
      <c r="D5" s="11">
        <f>COUNTIFS('Test Cases'!C2:C6,A5,'Test Cases'!F2:F6,"Failed")</f>
        <v/>
      </c>
      <c r="E5" s="11">
        <f>COUNTIFS('Test Cases'!C2:C6,A5,'Test Cases'!F2:F6,"Blocked")</f>
        <v/>
      </c>
      <c r="F5" s="11">
        <f>COUNTIFS('Test Cases'!C2:C6,A5,'Test Cases'!F2:F6,"Skipped")</f>
        <v/>
      </c>
      <c r="G5" s="11">
        <f>COUNTIFS('Test Cases'!C2:C6,A5,'Test Cases'!F2:F6,"Not Run")</f>
        <v/>
      </c>
      <c r="H5" s="12">
        <f>IFERROR(C5/(C5+D5),0)</f>
        <v/>
      </c>
    </row>
    <row r="6">
      <c r="A6" s="11" t="inlineStr">
        <is>
          <t>Swipe</t>
        </is>
      </c>
      <c r="B6" s="11">
        <f>COUNTIF('Test Cases'!C2:C6,A6)</f>
        <v/>
      </c>
      <c r="C6" s="11">
        <f>COUNTIFS('Test Cases'!C2:C6,A6,'Test Cases'!F2:F6,"Passed")</f>
        <v/>
      </c>
      <c r="D6" s="11">
        <f>COUNTIFS('Test Cases'!C2:C6,A6,'Test Cases'!F2:F6,"Failed")</f>
        <v/>
      </c>
      <c r="E6" s="11">
        <f>COUNTIFS('Test Cases'!C2:C6,A6,'Test Cases'!F2:F6,"Blocked")</f>
        <v/>
      </c>
      <c r="F6" s="11">
        <f>COUNTIFS('Test Cases'!C2:C6,A6,'Test Cases'!F2:F6,"Skipped")</f>
        <v/>
      </c>
      <c r="G6" s="11">
        <f>COUNTIFS('Test Cases'!C2:C6,A6,'Test Cases'!F2:F6,"Not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Cases'!D2:D6,"P0",'Test Cases'!F2:F6,"Failed")=0,"OK","BLOCKED")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Cases'!D2:D6,"P1",'Test Cases'!F2:F6,"Passed")/COUNTIF('Test Cases'!D2:D6,"P1"),0)&gt;=0.95,"OK","REVIEW")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Cases'!D2:D6,"P2",'Test Cases'!F2:F6,"Passed")+COUNTIFS('Test Cases'!D2:D6,"P2",'Test Cases'!F2:F6,"Failed"))/COUNTIF('Test Cases'!D2:D6,"P2"),0)&gt;=0.8,"OK","REVIEW")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2026-04-08T16:23:05Z</dcterms:created>
  <dcterms:modified xmlns:dcterms="http://purl.org/dc/terms/" xmlns:xsi="http://www.w3.org/2001/XMLSchema-instance" xsi:type="dcterms:W3CDTF">2026-04-08T16:23:05Z</dcterms:modified>
</cp:coreProperties>
</file>